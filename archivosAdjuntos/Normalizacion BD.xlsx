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1FN" sheetId="2" r:id="rId6"/>
    <sheet state="visible" name="2FN" sheetId="3" r:id="rId7"/>
    <sheet state="visible" name="3FN" sheetId="4" r:id="rId8"/>
  </sheets>
  <definedNames/>
  <calcPr/>
</workbook>
</file>

<file path=xl/sharedStrings.xml><?xml version="1.0" encoding="utf-8"?>
<sst xmlns="http://schemas.openxmlformats.org/spreadsheetml/2006/main" count="312" uniqueCount="128">
  <si>
    <t>IDPedido</t>
  </si>
  <si>
    <t>Cliente</t>
  </si>
  <si>
    <t>Email</t>
  </si>
  <si>
    <t>Dirección</t>
  </si>
  <si>
    <t>Teléfonos</t>
  </si>
  <si>
    <t>Producto</t>
  </si>
  <si>
    <t>Categoría</t>
  </si>
  <si>
    <t>Stock</t>
  </si>
  <si>
    <t>Cantidad</t>
  </si>
  <si>
    <t>PrecioUnitario</t>
  </si>
  <si>
    <t>MetodoPago</t>
  </si>
  <si>
    <t>Estado</t>
  </si>
  <si>
    <t>Usuario</t>
  </si>
  <si>
    <t>Rol</t>
  </si>
  <si>
    <t>Carlos Mendoza</t>
  </si>
  <si>
    <r>
      <rPr>
        <color rgb="FF1155CC"/>
        <u/>
      </rPr>
      <t>carlos.mendoza@email.com</t>
    </r>
  </si>
  <si>
    <t>Av. Central 123, Guatemala, Guatemala</t>
  </si>
  <si>
    <t>Celular:1234-4567 / Trabajo:5552-9988</t>
  </si>
  <si>
    <t>Laptop</t>
  </si>
  <si>
    <t>Electrónica</t>
  </si>
  <si>
    <t>Efectivo</t>
  </si>
  <si>
    <t>Pendiente</t>
  </si>
  <si>
    <t>Kellys Bellanger</t>
  </si>
  <si>
    <t>Administrador</t>
  </si>
  <si>
    <t>Ana Gomez</t>
  </si>
  <si>
    <r>
      <rPr>
        <color rgb="FF1155CC"/>
        <u/>
      </rPr>
      <t>ana.gomez@email.com</t>
    </r>
  </si>
  <si>
    <t>Calle Floresta #45, El Salvador, San Salvador</t>
  </si>
  <si>
    <t>Celular:9876-5432 / Casa:2221-1221</t>
  </si>
  <si>
    <t>Smartphone</t>
  </si>
  <si>
    <t>Tarjeta</t>
  </si>
  <si>
    <t>Enviado</t>
  </si>
  <si>
    <t>Alfredo Ortega</t>
  </si>
  <si>
    <t>Vendedor</t>
  </si>
  <si>
    <t>Original - En esta fase toda la información se encuentra almacenada en una sola tabla, mezclando datos de clientes, teléfonos, productos, categorías, pedidos y usuarios. Existen grupos repetitivos, como varios teléfonos para un mismo cliente, y una gran cantidad de información duplicada, lo que dificulta el mantenimiento y aumenta el riesgo de inconsistencias.</t>
  </si>
  <si>
    <t>IDPedido PK</t>
  </si>
  <si>
    <t>IDCliente PK</t>
  </si>
  <si>
    <t>Nombres</t>
  </si>
  <si>
    <t>Apellidos</t>
  </si>
  <si>
    <t>DireccionEnvio</t>
  </si>
  <si>
    <t>Pais</t>
  </si>
  <si>
    <t>Ciudad</t>
  </si>
  <si>
    <t>TipoTelefono</t>
  </si>
  <si>
    <t>Numero</t>
  </si>
  <si>
    <t>IDProducto PK</t>
  </si>
  <si>
    <t>Categoria</t>
  </si>
  <si>
    <t>Carlos</t>
  </si>
  <si>
    <t>Mendoza</t>
  </si>
  <si>
    <r>
      <rPr>
        <color rgb="FF1155CC"/>
        <u/>
      </rPr>
      <t>carlos.mendoza@email.com</t>
    </r>
  </si>
  <si>
    <t>Av. Central 123</t>
  </si>
  <si>
    <t>Guatemala</t>
  </si>
  <si>
    <t>Celular</t>
  </si>
  <si>
    <t>1234-4567</t>
  </si>
  <si>
    <r>
      <rPr>
        <color rgb="FF1155CC"/>
        <u/>
      </rPr>
      <t>carlos.mendoza@email.com</t>
    </r>
  </si>
  <si>
    <t>Trabajo</t>
  </si>
  <si>
    <t>5552-9988</t>
  </si>
  <si>
    <t>Ana</t>
  </si>
  <si>
    <t>Gomez</t>
  </si>
  <si>
    <r>
      <rPr>
        <color rgb="FF1155CC"/>
        <u/>
      </rPr>
      <t>ana.gomez@email.com</t>
    </r>
  </si>
  <si>
    <t>Calle Floresta #45</t>
  </si>
  <si>
    <t>El Salvador</t>
  </si>
  <si>
    <t>San Salvador</t>
  </si>
  <si>
    <t>9876-5432</t>
  </si>
  <si>
    <r>
      <rPr>
        <color rgb="FF1155CC"/>
        <u/>
      </rPr>
      <t>ana.gomez@email.com</t>
    </r>
  </si>
  <si>
    <t>Casa</t>
  </si>
  <si>
    <t>2221-1221</t>
  </si>
  <si>
    <t>1FN - En la Primera Forma Normal se eliminan los grupos repetitivos y se garantiza que cada columna almacene un único valor (valor atómico). Los teléfonos, que anteriormente estaban agrupados en un solo campo, pasan a registrarse en filas independientes. Aunque aún existe redundancia de información, la estructura de los datos es más organizada y facilita su manipulación.</t>
  </si>
  <si>
    <r>
      <rPr>
        <color rgb="FF1155CC"/>
        <u/>
      </rPr>
      <t>carlos.mendoza@email.com</t>
    </r>
  </si>
  <si>
    <r>
      <rPr>
        <color rgb="FF1155CC"/>
        <u/>
      </rPr>
      <t>ana.gomez@email.com</t>
    </r>
  </si>
  <si>
    <t>IDTelefono PK</t>
  </si>
  <si>
    <t>IDCliente</t>
  </si>
  <si>
    <t>Tipo</t>
  </si>
  <si>
    <t>Nombre</t>
  </si>
  <si>
    <t xml:space="preserve">IDCategoria </t>
  </si>
  <si>
    <t>Audífonos</t>
  </si>
  <si>
    <t>Audio</t>
  </si>
  <si>
    <t>Cargador</t>
  </si>
  <si>
    <t>Baterias y Cargadores</t>
  </si>
  <si>
    <t>Mouse</t>
  </si>
  <si>
    <t>Computacion</t>
  </si>
  <si>
    <t>Teclado</t>
  </si>
  <si>
    <t>Silla Gamer</t>
  </si>
  <si>
    <t>Hogar y Oficina</t>
  </si>
  <si>
    <t>Escritorio</t>
  </si>
  <si>
    <t>USUARIO</t>
  </si>
  <si>
    <t>IDUsuario PK</t>
  </si>
  <si>
    <t>Telefono</t>
  </si>
  <si>
    <t>IDRol</t>
  </si>
  <si>
    <t>Kellys</t>
  </si>
  <si>
    <t>Bellanger</t>
  </si>
  <si>
    <r>
      <rPr>
        <color rgb="FF1155CC"/>
        <u/>
      </rPr>
      <t>kellys.admin@tienda.com</t>
    </r>
  </si>
  <si>
    <t>Alfredo</t>
  </si>
  <si>
    <t>Ortega</t>
  </si>
  <si>
    <r>
      <rPr>
        <color rgb="FF1155CC"/>
        <u/>
      </rPr>
      <t>alfeed.ventas@tienda.com</t>
    </r>
  </si>
  <si>
    <t>Raul</t>
  </si>
  <si>
    <t>Valverde</t>
  </si>
  <si>
    <r>
      <rPr>
        <color rgb="FF1155CC"/>
        <u/>
      </rPr>
      <t>raulvruix@email.com</t>
    </r>
  </si>
  <si>
    <t>IDCliente FK</t>
  </si>
  <si>
    <t>FechaPedido</t>
  </si>
  <si>
    <t>IDProducto FK</t>
  </si>
  <si>
    <t>GETDATE()</t>
  </si>
  <si>
    <t>Entregado</t>
  </si>
  <si>
    <t>Cancelado</t>
  </si>
  <si>
    <t>IDDetalle PK</t>
  </si>
  <si>
    <t>IDPedido FK</t>
  </si>
  <si>
    <t>Transferencia</t>
  </si>
  <si>
    <t>2FN - En la Segunda Forma Normal se separan las principales entidades del sistema, como Clientes, Teléfonos, Productos, Pedidos, Usuarios y Detalles de Pedido. Con ello se eliminan las dependencias parciales y se reduce significativamente la duplicidad de información. Sin embargo, algunos datos descriptivos, como el nombre de la categoría y el nombre del rol, todavía permanecen dentro de otras tablas.</t>
  </si>
  <si>
    <t>CLIENTE</t>
  </si>
  <si>
    <t>PW</t>
  </si>
  <si>
    <r>
      <rPr>
        <color rgb="FF1155CC"/>
        <u/>
      </rPr>
      <t>carlos.mendoza@email.com</t>
    </r>
  </si>
  <si>
    <r>
      <rPr>
        <color rgb="FF1155CC"/>
        <u/>
      </rPr>
      <t>ana.gomez@email.com</t>
    </r>
  </si>
  <si>
    <t>TELEFONO_CLIENTE</t>
  </si>
  <si>
    <t>CATEGORIA</t>
  </si>
  <si>
    <t>IDCategoria PK</t>
  </si>
  <si>
    <t>3FN - En la Tercera Forma Normal se eliminan las dependencias transitivas. La información de Categorías y Roles se almacena en tablas independientes y las demás tablas únicamente conservan sus claves foráneas correspondientes. De esta manera, cada atributo depende exclusivamente de la clave primaria de su tabla, logrando una base de datos con menor redundancia, mayor integridad y un mantenimiento más sencillo.</t>
  </si>
  <si>
    <t>Hogar</t>
  </si>
  <si>
    <t>Fotografia</t>
  </si>
  <si>
    <t>Telefonía</t>
  </si>
  <si>
    <t>Mundo Gamer</t>
  </si>
  <si>
    <t>PRODUCTO</t>
  </si>
  <si>
    <t>IDCategoria FK</t>
  </si>
  <si>
    <t>ROL</t>
  </si>
  <si>
    <t>IDRol PK</t>
  </si>
  <si>
    <t>IDRol FK</t>
  </si>
  <si>
    <r>
      <rPr>
        <color rgb="FF1155CC"/>
        <u/>
      </rPr>
      <t>kellys.admin@tienda.com</t>
    </r>
  </si>
  <si>
    <r>
      <rPr>
        <color rgb="FF1155CC"/>
        <u/>
      </rPr>
      <t>alfeed.ventas@tienda.com</t>
    </r>
  </si>
  <si>
    <r>
      <rPr>
        <color rgb="FF1155CC"/>
        <u/>
      </rPr>
      <t>raulvruix@email.com</t>
    </r>
  </si>
  <si>
    <t>PEDIDO</t>
  </si>
  <si>
    <t>DETALLEPEDIDO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</si>
</sst>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8">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FFF2CC"/>
        <bgColor rgb="FFFFF2CC"/>
      </patternFill>
    </fill>
    <fill>
      <patternFill patternType="solid">
        <fgColor rgb="FFC9DAF8"/>
        <bgColor rgb="FFC9DAF8"/>
      </patternFill>
    </fill>
    <fill>
      <patternFill patternType="solid">
        <fgColor rgb="FF9FC5E8"/>
        <bgColor rgb="FF9FC5E8"/>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right" readingOrder="0"/>
    </xf>
    <xf borderId="1" fillId="0" fontId="2" numFmtId="0" xfId="0" applyAlignment="1" applyBorder="1" applyFont="1">
      <alignment readingOrder="0"/>
    </xf>
    <xf borderId="1" fillId="0" fontId="3" numFmtId="0" xfId="0" applyAlignment="1" applyBorder="1" applyFont="1">
      <alignment readingOrder="0"/>
    </xf>
    <xf borderId="1" fillId="0" fontId="2" numFmtId="0" xfId="0" applyAlignment="1" applyBorder="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3" fontId="2" numFmtId="0" xfId="0" applyAlignment="1" applyFill="1" applyFont="1">
      <alignment readingOrder="0" shrinkToFit="0" wrapText="1"/>
    </xf>
    <xf borderId="1" fillId="4" fontId="1" numFmtId="0" xfId="0" applyAlignment="1" applyBorder="1" applyFill="1" applyFont="1">
      <alignment horizontal="right" readingOrder="0"/>
    </xf>
    <xf borderId="1" fillId="4" fontId="1" numFmtId="0" xfId="0" applyAlignment="1" applyBorder="1" applyFont="1">
      <alignment horizontal="center" readingOrder="0"/>
    </xf>
    <xf borderId="0" fillId="5" fontId="2" numFmtId="0" xfId="0" applyAlignment="1" applyFill="1" applyFont="1">
      <alignment readingOrder="0" shrinkToFit="0" wrapText="1"/>
    </xf>
    <xf borderId="1" fillId="6" fontId="1" numFmtId="0" xfId="0" applyAlignment="1" applyBorder="1" applyFill="1" applyFont="1">
      <alignment horizontal="right" readingOrder="0"/>
    </xf>
    <xf borderId="1" fillId="6" fontId="1" numFmtId="0" xfId="0" applyAlignment="1" applyBorder="1" applyFont="1">
      <alignment horizontal="center" readingOrder="0"/>
    </xf>
    <xf borderId="0" fillId="0" fontId="1" numFmtId="0" xfId="0" applyAlignment="1" applyFont="1">
      <alignment horizontal="right" readingOrder="0"/>
    </xf>
    <xf borderId="1" fillId="6" fontId="2" numFmtId="0" xfId="0" applyAlignment="1" applyBorder="1" applyFont="1">
      <alignment readingOrder="0"/>
    </xf>
    <xf borderId="1" fillId="0" fontId="2" numFmtId="0" xfId="0" applyBorder="1" applyFont="1"/>
    <xf borderId="0" fillId="6" fontId="2" numFmtId="0" xfId="0" applyAlignment="1" applyFont="1">
      <alignment horizontal="left" readingOrder="0" shrinkToFit="0" wrapText="1"/>
    </xf>
    <xf borderId="1" fillId="7" fontId="1" numFmtId="0" xfId="0" applyAlignment="1" applyBorder="1" applyFill="1" applyFont="1">
      <alignment horizontal="left" readingOrder="0"/>
    </xf>
    <xf borderId="1" fillId="7" fontId="1" numFmtId="0" xfId="0" applyAlignment="1" applyBorder="1" applyFont="1">
      <alignment horizontal="right" readingOrder="0"/>
    </xf>
    <xf borderId="1" fillId="7" fontId="1" numFmtId="0" xfId="0" applyAlignment="1" applyBorder="1" applyFont="1">
      <alignment horizontal="center" readingOrder="0"/>
    </xf>
    <xf borderId="0" fillId="6"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arlos.mendoza@email.com" TargetMode="External"/><Relationship Id="rId2" Type="http://schemas.openxmlformats.org/officeDocument/2006/relationships/hyperlink" Target="mailto:ana.gomez@e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arlos.mendoza@email.com" TargetMode="External"/><Relationship Id="rId2" Type="http://schemas.openxmlformats.org/officeDocument/2006/relationships/hyperlink" Target="mailto:carlos.mendoza@email.com" TargetMode="External"/><Relationship Id="rId3" Type="http://schemas.openxmlformats.org/officeDocument/2006/relationships/hyperlink" Target="mailto:ana.gomez@email.com" TargetMode="External"/><Relationship Id="rId4" Type="http://schemas.openxmlformats.org/officeDocument/2006/relationships/hyperlink" Target="mailto:ana.gomez@email.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carlos.mendoza@email.com" TargetMode="External"/><Relationship Id="rId2" Type="http://schemas.openxmlformats.org/officeDocument/2006/relationships/hyperlink" Target="mailto:ana.gomez@email.com" TargetMode="External"/><Relationship Id="rId3" Type="http://schemas.openxmlformats.org/officeDocument/2006/relationships/hyperlink" Target="mailto:kellys.admin@tienda.com" TargetMode="External"/><Relationship Id="rId4" Type="http://schemas.openxmlformats.org/officeDocument/2006/relationships/hyperlink" Target="mailto:alfeed.ventas@tienda.com" TargetMode="External"/><Relationship Id="rId5" Type="http://schemas.openxmlformats.org/officeDocument/2006/relationships/hyperlink" Target="mailto:raulvruix@email.com"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carlos.mendoza@email.com" TargetMode="External"/><Relationship Id="rId2" Type="http://schemas.openxmlformats.org/officeDocument/2006/relationships/hyperlink" Target="mailto:ana.gomez@email.com" TargetMode="External"/><Relationship Id="rId3" Type="http://schemas.openxmlformats.org/officeDocument/2006/relationships/hyperlink" Target="mailto:kellys.admin@tienda.com" TargetMode="External"/><Relationship Id="rId4" Type="http://schemas.openxmlformats.org/officeDocument/2006/relationships/hyperlink" Target="mailto:alfeed.ventas@tienda.com" TargetMode="External"/><Relationship Id="rId5" Type="http://schemas.openxmlformats.org/officeDocument/2006/relationships/hyperlink" Target="mailto:raulvruix@email.com"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0"/>
  </cols>
  <sheetData>
    <row r="3">
      <c r="B3" s="1" t="s">
        <v>0</v>
      </c>
      <c r="C3" s="1" t="s">
        <v>1</v>
      </c>
      <c r="D3" s="1" t="s">
        <v>2</v>
      </c>
      <c r="E3" s="1" t="s">
        <v>3</v>
      </c>
      <c r="F3" s="1" t="s">
        <v>4</v>
      </c>
      <c r="G3" s="1" t="s">
        <v>5</v>
      </c>
      <c r="H3" s="1" t="s">
        <v>6</v>
      </c>
      <c r="I3" s="2" t="s">
        <v>7</v>
      </c>
      <c r="J3" s="2" t="s">
        <v>8</v>
      </c>
      <c r="K3" s="2" t="s">
        <v>9</v>
      </c>
      <c r="L3" s="1" t="s">
        <v>10</v>
      </c>
      <c r="M3" s="1" t="s">
        <v>11</v>
      </c>
      <c r="N3" s="1" t="s">
        <v>12</v>
      </c>
      <c r="O3" s="1" t="s">
        <v>13</v>
      </c>
    </row>
    <row r="4">
      <c r="B4" s="3">
        <v>1.0</v>
      </c>
      <c r="C4" s="3" t="s">
        <v>14</v>
      </c>
      <c r="D4" s="4" t="s">
        <v>15</v>
      </c>
      <c r="E4" s="3" t="s">
        <v>16</v>
      </c>
      <c r="F4" s="3" t="s">
        <v>17</v>
      </c>
      <c r="G4" s="3" t="s">
        <v>18</v>
      </c>
      <c r="H4" s="3" t="s">
        <v>19</v>
      </c>
      <c r="I4" s="5">
        <v>10.0</v>
      </c>
      <c r="J4" s="5">
        <v>2.0</v>
      </c>
      <c r="K4" s="5">
        <v>15.5</v>
      </c>
      <c r="L4" s="3" t="s">
        <v>20</v>
      </c>
      <c r="M4" s="3" t="s">
        <v>21</v>
      </c>
      <c r="N4" s="3" t="s">
        <v>22</v>
      </c>
      <c r="O4" s="3" t="s">
        <v>23</v>
      </c>
      <c r="P4" s="6"/>
      <c r="Q4" s="6"/>
      <c r="R4" s="6"/>
      <c r="S4" s="6"/>
    </row>
    <row r="5">
      <c r="B5" s="3">
        <v>2.0</v>
      </c>
      <c r="C5" s="3" t="s">
        <v>24</v>
      </c>
      <c r="D5" s="4" t="s">
        <v>25</v>
      </c>
      <c r="E5" s="3" t="s">
        <v>26</v>
      </c>
      <c r="F5" s="3" t="s">
        <v>27</v>
      </c>
      <c r="G5" s="3" t="s">
        <v>28</v>
      </c>
      <c r="H5" s="3" t="s">
        <v>19</v>
      </c>
      <c r="I5" s="5">
        <v>20.0</v>
      </c>
      <c r="J5" s="5">
        <v>1.0</v>
      </c>
      <c r="K5" s="5">
        <v>25.0</v>
      </c>
      <c r="L5" s="3" t="s">
        <v>29</v>
      </c>
      <c r="M5" s="3" t="s">
        <v>30</v>
      </c>
      <c r="N5" s="3" t="s">
        <v>31</v>
      </c>
      <c r="O5" s="3" t="s">
        <v>32</v>
      </c>
    </row>
    <row r="6">
      <c r="B6" s="7"/>
      <c r="G6" s="7"/>
    </row>
    <row r="12">
      <c r="B12" s="8" t="s">
        <v>33</v>
      </c>
    </row>
  </sheetData>
  <mergeCells count="1">
    <mergeCell ref="B12:H17"/>
  </mergeCells>
  <hyperlinks>
    <hyperlink r:id="rId1" ref="D4"/>
    <hyperlink r:id="rId2" ref="D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9" t="s">
        <v>34</v>
      </c>
      <c r="C3" s="9" t="s">
        <v>35</v>
      </c>
      <c r="D3" s="10" t="s">
        <v>36</v>
      </c>
      <c r="E3" s="10" t="s">
        <v>37</v>
      </c>
      <c r="F3" s="10" t="s">
        <v>2</v>
      </c>
      <c r="G3" s="10" t="s">
        <v>38</v>
      </c>
      <c r="H3" s="10" t="s">
        <v>39</v>
      </c>
      <c r="I3" s="10" t="s">
        <v>40</v>
      </c>
      <c r="J3" s="10" t="s">
        <v>41</v>
      </c>
      <c r="K3" s="10" t="s">
        <v>42</v>
      </c>
      <c r="L3" s="9" t="s">
        <v>43</v>
      </c>
      <c r="M3" s="10" t="s">
        <v>5</v>
      </c>
      <c r="N3" s="10" t="s">
        <v>44</v>
      </c>
      <c r="O3" s="9" t="s">
        <v>7</v>
      </c>
      <c r="P3" s="9" t="s">
        <v>8</v>
      </c>
      <c r="Q3" s="9" t="s">
        <v>9</v>
      </c>
      <c r="R3" s="10" t="s">
        <v>10</v>
      </c>
      <c r="S3" s="10" t="s">
        <v>11</v>
      </c>
    </row>
    <row r="4">
      <c r="B4" s="5">
        <v>1.0</v>
      </c>
      <c r="C4" s="5">
        <v>1.0</v>
      </c>
      <c r="D4" s="3" t="s">
        <v>45</v>
      </c>
      <c r="E4" s="3" t="s">
        <v>46</v>
      </c>
      <c r="F4" s="4" t="s">
        <v>47</v>
      </c>
      <c r="G4" s="3" t="s">
        <v>48</v>
      </c>
      <c r="H4" s="3" t="s">
        <v>49</v>
      </c>
      <c r="I4" s="3" t="s">
        <v>49</v>
      </c>
      <c r="J4" s="3" t="s">
        <v>50</v>
      </c>
      <c r="K4" s="3" t="s">
        <v>51</v>
      </c>
      <c r="L4" s="5">
        <v>1.0</v>
      </c>
      <c r="M4" s="3" t="s">
        <v>18</v>
      </c>
      <c r="N4" s="3" t="s">
        <v>19</v>
      </c>
      <c r="O4" s="5">
        <v>10.0</v>
      </c>
      <c r="P4" s="5">
        <v>2.0</v>
      </c>
      <c r="Q4" s="5">
        <v>15.5</v>
      </c>
      <c r="R4" s="3" t="s">
        <v>20</v>
      </c>
      <c r="S4" s="3" t="s">
        <v>21</v>
      </c>
    </row>
    <row r="5">
      <c r="B5" s="5">
        <v>1.0</v>
      </c>
      <c r="C5" s="5">
        <v>1.0</v>
      </c>
      <c r="D5" s="3" t="s">
        <v>45</v>
      </c>
      <c r="E5" s="3" t="s">
        <v>46</v>
      </c>
      <c r="F5" s="4" t="s">
        <v>52</v>
      </c>
      <c r="G5" s="3" t="s">
        <v>48</v>
      </c>
      <c r="H5" s="3" t="s">
        <v>49</v>
      </c>
      <c r="I5" s="3" t="s">
        <v>49</v>
      </c>
      <c r="J5" s="3" t="s">
        <v>53</v>
      </c>
      <c r="K5" s="3" t="s">
        <v>54</v>
      </c>
      <c r="L5" s="5">
        <v>1.0</v>
      </c>
      <c r="M5" s="3" t="s">
        <v>18</v>
      </c>
      <c r="N5" s="3" t="s">
        <v>19</v>
      </c>
      <c r="O5" s="5">
        <v>10.0</v>
      </c>
      <c r="P5" s="5">
        <v>2.0</v>
      </c>
      <c r="Q5" s="5">
        <v>15.5</v>
      </c>
      <c r="R5" s="3" t="s">
        <v>20</v>
      </c>
      <c r="S5" s="3" t="s">
        <v>21</v>
      </c>
    </row>
    <row r="6">
      <c r="B6" s="5">
        <v>2.0</v>
      </c>
      <c r="C6" s="5">
        <v>2.0</v>
      </c>
      <c r="D6" s="3" t="s">
        <v>55</v>
      </c>
      <c r="E6" s="3" t="s">
        <v>56</v>
      </c>
      <c r="F6" s="4" t="s">
        <v>57</v>
      </c>
      <c r="G6" s="3" t="s">
        <v>58</v>
      </c>
      <c r="H6" s="3" t="s">
        <v>59</v>
      </c>
      <c r="I6" s="3" t="s">
        <v>60</v>
      </c>
      <c r="J6" s="3" t="s">
        <v>50</v>
      </c>
      <c r="K6" s="3" t="s">
        <v>61</v>
      </c>
      <c r="L6" s="5">
        <v>2.0</v>
      </c>
      <c r="M6" s="3" t="s">
        <v>28</v>
      </c>
      <c r="N6" s="3" t="s">
        <v>19</v>
      </c>
      <c r="O6" s="5">
        <v>20.0</v>
      </c>
      <c r="P6" s="5">
        <v>1.0</v>
      </c>
      <c r="Q6" s="5">
        <v>25.0</v>
      </c>
      <c r="R6" s="3" t="s">
        <v>29</v>
      </c>
      <c r="S6" s="3" t="s">
        <v>30</v>
      </c>
    </row>
    <row r="7">
      <c r="B7" s="5">
        <v>2.0</v>
      </c>
      <c r="C7" s="5">
        <v>2.0</v>
      </c>
      <c r="D7" s="3" t="s">
        <v>55</v>
      </c>
      <c r="E7" s="3" t="s">
        <v>56</v>
      </c>
      <c r="F7" s="4" t="s">
        <v>62</v>
      </c>
      <c r="G7" s="3" t="s">
        <v>58</v>
      </c>
      <c r="H7" s="3" t="s">
        <v>59</v>
      </c>
      <c r="I7" s="3" t="s">
        <v>60</v>
      </c>
      <c r="J7" s="3" t="s">
        <v>63</v>
      </c>
      <c r="K7" s="3" t="s">
        <v>64</v>
      </c>
      <c r="L7" s="5">
        <v>2.0</v>
      </c>
      <c r="M7" s="3" t="s">
        <v>28</v>
      </c>
      <c r="N7" s="3" t="s">
        <v>19</v>
      </c>
      <c r="O7" s="5">
        <v>20.0</v>
      </c>
      <c r="P7" s="5">
        <v>1.0</v>
      </c>
      <c r="Q7" s="5">
        <v>25.0</v>
      </c>
      <c r="R7" s="3" t="s">
        <v>29</v>
      </c>
      <c r="S7" s="3" t="s">
        <v>30</v>
      </c>
    </row>
    <row r="8">
      <c r="B8" s="6"/>
      <c r="C8" s="6"/>
      <c r="D8" s="6"/>
      <c r="E8" s="6"/>
    </row>
    <row r="11">
      <c r="B11" s="11" t="s">
        <v>65</v>
      </c>
    </row>
    <row r="23">
      <c r="B23" s="6"/>
      <c r="C23" s="6"/>
      <c r="D23" s="6"/>
      <c r="E23" s="6"/>
      <c r="F23" s="6"/>
      <c r="G23" s="6"/>
      <c r="H23" s="6"/>
    </row>
  </sheetData>
  <mergeCells count="1">
    <mergeCell ref="B11:F16"/>
  </mergeCells>
  <hyperlinks>
    <hyperlink r:id="rId1" ref="F4"/>
    <hyperlink r:id="rId2" ref="F5"/>
    <hyperlink r:id="rId3" ref="F6"/>
    <hyperlink r:id="rId4" ref="F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13"/>
  </cols>
  <sheetData>
    <row r="3">
      <c r="B3" s="12" t="s">
        <v>35</v>
      </c>
      <c r="C3" s="13" t="s">
        <v>36</v>
      </c>
      <c r="D3" s="13" t="s">
        <v>37</v>
      </c>
      <c r="E3" s="13" t="s">
        <v>2</v>
      </c>
      <c r="F3" s="13" t="s">
        <v>38</v>
      </c>
      <c r="G3" s="13" t="s">
        <v>39</v>
      </c>
      <c r="H3" s="13" t="s">
        <v>40</v>
      </c>
    </row>
    <row r="4">
      <c r="B4" s="5">
        <v>1.0</v>
      </c>
      <c r="C4" s="3" t="s">
        <v>45</v>
      </c>
      <c r="D4" s="3" t="s">
        <v>46</v>
      </c>
      <c r="E4" s="4" t="s">
        <v>66</v>
      </c>
      <c r="F4" s="3" t="s">
        <v>48</v>
      </c>
      <c r="G4" s="3" t="s">
        <v>49</v>
      </c>
      <c r="H4" s="3" t="s">
        <v>49</v>
      </c>
    </row>
    <row r="5">
      <c r="B5" s="5">
        <v>2.0</v>
      </c>
      <c r="C5" s="3" t="s">
        <v>55</v>
      </c>
      <c r="D5" s="3" t="s">
        <v>56</v>
      </c>
      <c r="E5" s="4" t="s">
        <v>67</v>
      </c>
      <c r="F5" s="3" t="s">
        <v>58</v>
      </c>
      <c r="G5" s="3" t="s">
        <v>59</v>
      </c>
      <c r="H5" s="3" t="s">
        <v>60</v>
      </c>
    </row>
    <row r="8">
      <c r="B8" s="6"/>
      <c r="C8" s="14"/>
      <c r="D8" s="6"/>
      <c r="E8" s="6"/>
    </row>
    <row r="9">
      <c r="B9" s="12" t="s">
        <v>68</v>
      </c>
      <c r="C9" s="12" t="s">
        <v>69</v>
      </c>
      <c r="D9" s="13" t="s">
        <v>70</v>
      </c>
      <c r="E9" s="13" t="s">
        <v>42</v>
      </c>
    </row>
    <row r="10">
      <c r="B10" s="5">
        <v>1.0</v>
      </c>
      <c r="C10" s="5">
        <v>1.0</v>
      </c>
      <c r="D10" s="3" t="s">
        <v>50</v>
      </c>
      <c r="E10" s="3" t="s">
        <v>51</v>
      </c>
    </row>
    <row r="11">
      <c r="B11" s="5">
        <v>2.0</v>
      </c>
      <c r="C11" s="5">
        <v>1.0</v>
      </c>
      <c r="D11" s="3" t="s">
        <v>53</v>
      </c>
      <c r="E11" s="3" t="s">
        <v>54</v>
      </c>
    </row>
    <row r="12">
      <c r="B12" s="5">
        <v>3.0</v>
      </c>
      <c r="C12" s="5">
        <v>2.0</v>
      </c>
      <c r="D12" s="3" t="s">
        <v>50</v>
      </c>
      <c r="E12" s="3" t="s">
        <v>61</v>
      </c>
    </row>
    <row r="13">
      <c r="B13" s="5">
        <v>4.0</v>
      </c>
      <c r="C13" s="5">
        <v>2.0</v>
      </c>
      <c r="D13" s="3" t="s">
        <v>63</v>
      </c>
      <c r="E13" s="3" t="s">
        <v>64</v>
      </c>
    </row>
    <row r="16">
      <c r="B16" s="14"/>
      <c r="C16" s="6"/>
    </row>
    <row r="17">
      <c r="B17" s="12" t="s">
        <v>43</v>
      </c>
      <c r="C17" s="13" t="s">
        <v>71</v>
      </c>
      <c r="D17" s="15" t="s">
        <v>72</v>
      </c>
      <c r="E17" s="13" t="s">
        <v>44</v>
      </c>
      <c r="F17" s="12" t="s">
        <v>7</v>
      </c>
    </row>
    <row r="18">
      <c r="B18" s="5">
        <v>1.0</v>
      </c>
      <c r="C18" s="3" t="s">
        <v>18</v>
      </c>
      <c r="D18" s="3">
        <v>1.0</v>
      </c>
      <c r="E18" s="3" t="s">
        <v>19</v>
      </c>
      <c r="F18" s="5">
        <v>10.0</v>
      </c>
    </row>
    <row r="19">
      <c r="B19" s="5">
        <v>2.0</v>
      </c>
      <c r="C19" s="3" t="s">
        <v>28</v>
      </c>
      <c r="D19" s="3">
        <v>1.0</v>
      </c>
      <c r="E19" s="3" t="s">
        <v>19</v>
      </c>
      <c r="F19" s="5">
        <v>20.0</v>
      </c>
    </row>
    <row r="20">
      <c r="B20" s="5">
        <v>3.0</v>
      </c>
      <c r="C20" s="3" t="s">
        <v>73</v>
      </c>
      <c r="D20" s="3">
        <v>2.0</v>
      </c>
      <c r="E20" s="3" t="s">
        <v>74</v>
      </c>
      <c r="F20" s="5">
        <v>15.0</v>
      </c>
    </row>
    <row r="21">
      <c r="B21" s="5">
        <v>4.0</v>
      </c>
      <c r="C21" s="3" t="s">
        <v>75</v>
      </c>
      <c r="D21" s="3">
        <v>3.0</v>
      </c>
      <c r="E21" s="3" t="s">
        <v>76</v>
      </c>
      <c r="F21" s="5">
        <v>30.0</v>
      </c>
    </row>
    <row r="22">
      <c r="B22" s="5">
        <v>5.0</v>
      </c>
      <c r="C22" s="3" t="s">
        <v>77</v>
      </c>
      <c r="D22" s="3">
        <v>4.0</v>
      </c>
      <c r="E22" s="3" t="s">
        <v>78</v>
      </c>
      <c r="F22" s="5">
        <v>25.0</v>
      </c>
    </row>
    <row r="23">
      <c r="B23" s="5">
        <v>6.0</v>
      </c>
      <c r="C23" s="3" t="s">
        <v>79</v>
      </c>
      <c r="D23" s="3">
        <v>4.0</v>
      </c>
      <c r="E23" s="3" t="s">
        <v>78</v>
      </c>
      <c r="F23" s="5">
        <v>18.0</v>
      </c>
    </row>
    <row r="24">
      <c r="B24" s="5">
        <v>7.0</v>
      </c>
      <c r="C24" s="3" t="s">
        <v>80</v>
      </c>
      <c r="D24" s="3">
        <v>5.0</v>
      </c>
      <c r="E24" s="3" t="s">
        <v>81</v>
      </c>
      <c r="F24" s="5">
        <v>12.0</v>
      </c>
    </row>
    <row r="25">
      <c r="B25" s="5">
        <v>8.0</v>
      </c>
      <c r="C25" s="3" t="s">
        <v>82</v>
      </c>
      <c r="D25" s="3">
        <v>5.0</v>
      </c>
      <c r="E25" s="3" t="s">
        <v>81</v>
      </c>
      <c r="F25" s="5">
        <v>8.0</v>
      </c>
    </row>
    <row r="28">
      <c r="B28" s="12" t="s">
        <v>83</v>
      </c>
    </row>
    <row r="29">
      <c r="B29" s="12" t="s">
        <v>84</v>
      </c>
      <c r="C29" s="13" t="s">
        <v>36</v>
      </c>
      <c r="D29" s="13" t="s">
        <v>37</v>
      </c>
      <c r="E29" s="13" t="s">
        <v>2</v>
      </c>
      <c r="F29" s="13" t="s">
        <v>85</v>
      </c>
      <c r="G29" s="15" t="s">
        <v>86</v>
      </c>
      <c r="H29" s="13" t="s">
        <v>13</v>
      </c>
    </row>
    <row r="30">
      <c r="B30" s="5">
        <v>1.0</v>
      </c>
      <c r="C30" s="3" t="s">
        <v>87</v>
      </c>
      <c r="D30" s="3" t="s">
        <v>88</v>
      </c>
      <c r="E30" s="4" t="s">
        <v>89</v>
      </c>
      <c r="F30" s="16">
        <f>+50588881111</f>
        <v>50588881111</v>
      </c>
      <c r="G30" s="3">
        <v>1.0</v>
      </c>
      <c r="H30" s="3" t="s">
        <v>23</v>
      </c>
    </row>
    <row r="31">
      <c r="B31" s="5">
        <v>2.0</v>
      </c>
      <c r="C31" s="3" t="s">
        <v>90</v>
      </c>
      <c r="D31" s="3" t="s">
        <v>91</v>
      </c>
      <c r="E31" s="4" t="s">
        <v>92</v>
      </c>
      <c r="F31" s="16">
        <f>+50588882222</f>
        <v>50588882222</v>
      </c>
      <c r="G31" s="3">
        <v>2.0</v>
      </c>
      <c r="H31" s="3" t="s">
        <v>32</v>
      </c>
    </row>
    <row r="32">
      <c r="B32" s="5">
        <v>3.0</v>
      </c>
      <c r="C32" s="3" t="s">
        <v>93</v>
      </c>
      <c r="D32" s="3" t="s">
        <v>94</v>
      </c>
      <c r="E32" s="4" t="s">
        <v>95</v>
      </c>
      <c r="F32" s="16">
        <f>+50588883333</f>
        <v>50588883333</v>
      </c>
      <c r="G32" s="3">
        <v>3.0</v>
      </c>
      <c r="H32" s="3" t="s">
        <v>1</v>
      </c>
    </row>
    <row r="33">
      <c r="B33" s="7"/>
      <c r="D33" s="7"/>
      <c r="E33" s="7"/>
    </row>
    <row r="34">
      <c r="B34" s="7"/>
      <c r="D34" s="7"/>
      <c r="E34" s="7"/>
    </row>
    <row r="35">
      <c r="B35" s="7"/>
      <c r="D35" s="7"/>
      <c r="E35" s="7"/>
    </row>
    <row r="36">
      <c r="B36" s="7"/>
      <c r="D36" s="7"/>
      <c r="E36" s="7"/>
    </row>
    <row r="37">
      <c r="B37" s="12" t="s">
        <v>34</v>
      </c>
      <c r="C37" s="12" t="s">
        <v>96</v>
      </c>
      <c r="D37" s="13" t="s">
        <v>97</v>
      </c>
      <c r="E37" s="12" t="s">
        <v>98</v>
      </c>
      <c r="F37" s="13" t="s">
        <v>11</v>
      </c>
    </row>
    <row r="38">
      <c r="B38" s="5">
        <v>1.0</v>
      </c>
      <c r="C38" s="5">
        <v>1.0</v>
      </c>
      <c r="D38" s="3" t="s">
        <v>99</v>
      </c>
      <c r="E38" s="5">
        <v>1.0</v>
      </c>
      <c r="F38" s="3" t="s">
        <v>21</v>
      </c>
    </row>
    <row r="39">
      <c r="B39" s="5">
        <v>2.0</v>
      </c>
      <c r="C39" s="5">
        <v>2.0</v>
      </c>
      <c r="D39" s="3" t="s">
        <v>99</v>
      </c>
      <c r="E39" s="5">
        <v>2.0</v>
      </c>
      <c r="F39" s="3" t="s">
        <v>30</v>
      </c>
    </row>
    <row r="40">
      <c r="B40" s="5">
        <v>3.0</v>
      </c>
      <c r="C40" s="5">
        <v>1.0</v>
      </c>
      <c r="D40" s="3" t="s">
        <v>99</v>
      </c>
      <c r="E40" s="5">
        <v>3.0</v>
      </c>
      <c r="F40" s="3" t="s">
        <v>100</v>
      </c>
    </row>
    <row r="41">
      <c r="B41" s="5">
        <v>4.0</v>
      </c>
      <c r="C41" s="5">
        <v>1.0</v>
      </c>
      <c r="D41" s="3" t="s">
        <v>99</v>
      </c>
      <c r="E41" s="5">
        <v>4.0</v>
      </c>
      <c r="F41" s="3" t="s">
        <v>101</v>
      </c>
    </row>
    <row r="42">
      <c r="B42" s="5">
        <v>5.0</v>
      </c>
      <c r="C42" s="5">
        <v>2.0</v>
      </c>
      <c r="D42" s="3" t="s">
        <v>99</v>
      </c>
      <c r="E42" s="5">
        <v>5.0</v>
      </c>
      <c r="F42" s="3" t="s">
        <v>21</v>
      </c>
    </row>
    <row r="43">
      <c r="B43" s="7"/>
      <c r="C43" s="7"/>
      <c r="E43" s="7"/>
    </row>
    <row r="44">
      <c r="B44" s="7"/>
      <c r="C44" s="7"/>
      <c r="E44" s="7"/>
    </row>
    <row r="45">
      <c r="B45" s="12" t="s">
        <v>102</v>
      </c>
      <c r="C45" s="12" t="s">
        <v>103</v>
      </c>
      <c r="D45" s="12" t="s">
        <v>98</v>
      </c>
      <c r="E45" s="12" t="s">
        <v>8</v>
      </c>
      <c r="F45" s="12" t="s">
        <v>9</v>
      </c>
      <c r="G45" s="13" t="s">
        <v>10</v>
      </c>
    </row>
    <row r="46">
      <c r="B46" s="5">
        <v>1.0</v>
      </c>
      <c r="C46" s="5">
        <v>1.0</v>
      </c>
      <c r="D46" s="5">
        <v>1.0</v>
      </c>
      <c r="E46" s="5">
        <v>2.0</v>
      </c>
      <c r="F46" s="5">
        <v>15.5</v>
      </c>
      <c r="G46" s="3" t="s">
        <v>20</v>
      </c>
    </row>
    <row r="47">
      <c r="B47" s="5">
        <v>2.0</v>
      </c>
      <c r="C47" s="5">
        <v>2.0</v>
      </c>
      <c r="D47" s="5">
        <v>2.0</v>
      </c>
      <c r="E47" s="5">
        <v>1.0</v>
      </c>
      <c r="F47" s="5">
        <v>25.0</v>
      </c>
      <c r="G47" s="3" t="s">
        <v>29</v>
      </c>
    </row>
    <row r="48">
      <c r="B48" s="5">
        <v>3.0</v>
      </c>
      <c r="C48" s="5">
        <v>3.0</v>
      </c>
      <c r="D48" s="5">
        <v>3.0</v>
      </c>
      <c r="E48" s="5">
        <v>3.0</v>
      </c>
      <c r="F48" s="5">
        <v>12.75</v>
      </c>
      <c r="G48" s="3" t="s">
        <v>104</v>
      </c>
    </row>
    <row r="49">
      <c r="B49" s="5">
        <v>4.0</v>
      </c>
      <c r="C49" s="5">
        <v>4.0</v>
      </c>
      <c r="D49" s="5">
        <v>4.0</v>
      </c>
      <c r="E49" s="5">
        <v>5.0</v>
      </c>
      <c r="F49" s="5">
        <v>8.99</v>
      </c>
      <c r="G49" s="3" t="s">
        <v>20</v>
      </c>
    </row>
    <row r="50">
      <c r="B50" s="5">
        <v>5.0</v>
      </c>
      <c r="C50" s="5">
        <v>5.0</v>
      </c>
      <c r="D50" s="5">
        <v>5.0</v>
      </c>
      <c r="E50" s="5">
        <v>1.0</v>
      </c>
      <c r="F50" s="5">
        <v>45.0</v>
      </c>
      <c r="G50" s="3" t="s">
        <v>29</v>
      </c>
    </row>
    <row r="51">
      <c r="B51" s="7"/>
      <c r="C51" s="7"/>
      <c r="D51" s="7"/>
      <c r="E51" s="7"/>
      <c r="F51" s="7"/>
    </row>
    <row r="52">
      <c r="B52" s="7"/>
      <c r="C52" s="7"/>
      <c r="D52" s="7"/>
      <c r="E52" s="7"/>
      <c r="F52" s="7"/>
    </row>
    <row r="53">
      <c r="B53" s="17" t="s">
        <v>105</v>
      </c>
    </row>
    <row r="58">
      <c r="B58" s="7"/>
    </row>
    <row r="59">
      <c r="B59" s="7"/>
    </row>
    <row r="60">
      <c r="B60" s="7"/>
    </row>
    <row r="63">
      <c r="B63" s="14"/>
      <c r="C63" s="6"/>
      <c r="D63" s="6"/>
      <c r="E63" s="6"/>
      <c r="F63" s="6"/>
      <c r="G63" s="14"/>
    </row>
    <row r="64">
      <c r="B64" s="7"/>
      <c r="G64" s="7"/>
    </row>
    <row r="65">
      <c r="B65" s="7"/>
      <c r="G65" s="7"/>
    </row>
    <row r="66">
      <c r="B66" s="7"/>
      <c r="G66" s="7"/>
    </row>
  </sheetData>
  <mergeCells count="1">
    <mergeCell ref="B53:F57"/>
  </mergeCells>
  <hyperlinks>
    <hyperlink r:id="rId1" ref="E4"/>
    <hyperlink r:id="rId2" ref="E5"/>
    <hyperlink r:id="rId3" ref="E30"/>
    <hyperlink r:id="rId4" ref="E31"/>
    <hyperlink r:id="rId5" ref="E32"/>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18.25"/>
    <col customWidth="1" min="5" max="5" width="25.38"/>
  </cols>
  <sheetData>
    <row r="2">
      <c r="B2" s="18" t="s">
        <v>106</v>
      </c>
    </row>
    <row r="3">
      <c r="B3" s="19" t="s">
        <v>35</v>
      </c>
      <c r="C3" s="20" t="s">
        <v>36</v>
      </c>
      <c r="D3" s="20" t="s">
        <v>37</v>
      </c>
      <c r="E3" s="20" t="s">
        <v>2</v>
      </c>
      <c r="F3" s="20" t="s">
        <v>107</v>
      </c>
      <c r="G3" s="20" t="s">
        <v>38</v>
      </c>
      <c r="H3" s="20" t="s">
        <v>39</v>
      </c>
      <c r="I3" s="20" t="s">
        <v>40</v>
      </c>
    </row>
    <row r="4">
      <c r="B4" s="5">
        <v>1.0</v>
      </c>
      <c r="C4" s="3" t="s">
        <v>45</v>
      </c>
      <c r="D4" s="3" t="s">
        <v>46</v>
      </c>
      <c r="E4" s="4" t="s">
        <v>108</v>
      </c>
      <c r="F4" s="3"/>
      <c r="G4" s="3" t="s">
        <v>48</v>
      </c>
      <c r="H4" s="3" t="s">
        <v>49</v>
      </c>
      <c r="I4" s="3" t="s">
        <v>49</v>
      </c>
    </row>
    <row r="5">
      <c r="B5" s="5">
        <v>2.0</v>
      </c>
      <c r="C5" s="3" t="s">
        <v>55</v>
      </c>
      <c r="D5" s="3" t="s">
        <v>56</v>
      </c>
      <c r="E5" s="4" t="s">
        <v>109</v>
      </c>
      <c r="F5" s="3"/>
      <c r="G5" s="3" t="s">
        <v>58</v>
      </c>
      <c r="H5" s="3" t="s">
        <v>59</v>
      </c>
      <c r="I5" s="3" t="s">
        <v>60</v>
      </c>
    </row>
    <row r="7">
      <c r="B7" s="18" t="s">
        <v>110</v>
      </c>
    </row>
    <row r="8">
      <c r="B8" s="19" t="s">
        <v>68</v>
      </c>
      <c r="C8" s="19" t="s">
        <v>96</v>
      </c>
      <c r="D8" s="20" t="s">
        <v>70</v>
      </c>
      <c r="E8" s="20" t="s">
        <v>42</v>
      </c>
    </row>
    <row r="9">
      <c r="B9" s="5">
        <v>1.0</v>
      </c>
      <c r="C9" s="5">
        <v>1.0</v>
      </c>
      <c r="D9" s="3" t="s">
        <v>50</v>
      </c>
      <c r="E9" s="3" t="s">
        <v>51</v>
      </c>
    </row>
    <row r="10">
      <c r="B10" s="5">
        <v>2.0</v>
      </c>
      <c r="C10" s="5">
        <v>1.0</v>
      </c>
      <c r="D10" s="3" t="s">
        <v>53</v>
      </c>
      <c r="E10" s="3" t="s">
        <v>54</v>
      </c>
    </row>
    <row r="11">
      <c r="B11" s="5">
        <v>3.0</v>
      </c>
      <c r="C11" s="5">
        <v>2.0</v>
      </c>
      <c r="D11" s="3" t="s">
        <v>50</v>
      </c>
      <c r="E11" s="3" t="s">
        <v>61</v>
      </c>
    </row>
    <row r="12">
      <c r="B12" s="5">
        <v>4.0</v>
      </c>
      <c r="C12" s="5">
        <v>2.0</v>
      </c>
      <c r="D12" s="3" t="s">
        <v>63</v>
      </c>
      <c r="E12" s="3" t="s">
        <v>64</v>
      </c>
    </row>
    <row r="15">
      <c r="B15" s="18" t="s">
        <v>111</v>
      </c>
    </row>
    <row r="16">
      <c r="B16" s="19" t="s">
        <v>112</v>
      </c>
      <c r="C16" s="20" t="s">
        <v>71</v>
      </c>
    </row>
    <row r="17">
      <c r="B17" s="5">
        <v>1.0</v>
      </c>
      <c r="C17" s="3" t="s">
        <v>19</v>
      </c>
      <c r="K17" s="21" t="s">
        <v>113</v>
      </c>
    </row>
    <row r="18">
      <c r="B18" s="5">
        <v>2.0</v>
      </c>
      <c r="C18" s="3" t="s">
        <v>114</v>
      </c>
    </row>
    <row r="19">
      <c r="B19" s="5">
        <v>3.0</v>
      </c>
      <c r="C19" s="3" t="s">
        <v>74</v>
      </c>
    </row>
    <row r="20">
      <c r="B20" s="5">
        <v>4.0</v>
      </c>
      <c r="C20" s="3" t="s">
        <v>76</v>
      </c>
    </row>
    <row r="21">
      <c r="B21" s="5">
        <v>5.0</v>
      </c>
      <c r="C21" s="3" t="s">
        <v>78</v>
      </c>
    </row>
    <row r="22">
      <c r="B22" s="5">
        <v>6.0</v>
      </c>
      <c r="C22" s="3" t="s">
        <v>115</v>
      </c>
    </row>
    <row r="23">
      <c r="B23" s="5">
        <v>7.0</v>
      </c>
      <c r="C23" s="3" t="s">
        <v>81</v>
      </c>
    </row>
    <row r="24">
      <c r="B24" s="5">
        <v>8.0</v>
      </c>
      <c r="C24" s="3" t="s">
        <v>116</v>
      </c>
    </row>
    <row r="25">
      <c r="B25" s="5">
        <v>9.0</v>
      </c>
      <c r="C25" s="3" t="s">
        <v>117</v>
      </c>
    </row>
    <row r="27">
      <c r="B27" s="18" t="s">
        <v>118</v>
      </c>
    </row>
    <row r="28">
      <c r="B28" s="19" t="s">
        <v>43</v>
      </c>
      <c r="C28" s="20" t="s">
        <v>71</v>
      </c>
      <c r="D28" s="19" t="s">
        <v>7</v>
      </c>
      <c r="E28" s="19" t="s">
        <v>119</v>
      </c>
    </row>
    <row r="29">
      <c r="B29" s="5">
        <v>1.0</v>
      </c>
      <c r="C29" s="3" t="s">
        <v>18</v>
      </c>
      <c r="D29" s="5">
        <v>10.0</v>
      </c>
      <c r="E29" s="5">
        <v>1.0</v>
      </c>
    </row>
    <row r="30">
      <c r="B30" s="5">
        <v>2.0</v>
      </c>
      <c r="C30" s="3" t="s">
        <v>28</v>
      </c>
      <c r="D30" s="5">
        <v>20.0</v>
      </c>
      <c r="E30" s="5">
        <v>1.0</v>
      </c>
    </row>
    <row r="31">
      <c r="B31" s="5">
        <v>3.0</v>
      </c>
      <c r="C31" s="3" t="s">
        <v>73</v>
      </c>
      <c r="D31" s="5">
        <v>15.0</v>
      </c>
      <c r="E31" s="5">
        <v>3.0</v>
      </c>
    </row>
    <row r="32">
      <c r="B32" s="5">
        <v>4.0</v>
      </c>
      <c r="C32" s="3" t="s">
        <v>75</v>
      </c>
      <c r="D32" s="5">
        <v>30.0</v>
      </c>
      <c r="E32" s="5">
        <v>4.0</v>
      </c>
    </row>
    <row r="33">
      <c r="B33" s="5">
        <v>5.0</v>
      </c>
      <c r="C33" s="3" t="s">
        <v>77</v>
      </c>
      <c r="D33" s="5">
        <v>25.0</v>
      </c>
      <c r="E33" s="5">
        <v>5.0</v>
      </c>
    </row>
    <row r="34">
      <c r="B34" s="5">
        <v>6.0</v>
      </c>
      <c r="C34" s="3" t="s">
        <v>79</v>
      </c>
      <c r="D34" s="5">
        <v>18.0</v>
      </c>
      <c r="E34" s="5">
        <v>5.0</v>
      </c>
    </row>
    <row r="35">
      <c r="B35" s="5">
        <v>7.0</v>
      </c>
      <c r="C35" s="3" t="s">
        <v>80</v>
      </c>
      <c r="D35" s="5">
        <v>12.0</v>
      </c>
      <c r="E35" s="5">
        <v>7.0</v>
      </c>
    </row>
    <row r="36">
      <c r="B36" s="5">
        <v>8.0</v>
      </c>
      <c r="C36" s="3" t="s">
        <v>82</v>
      </c>
      <c r="D36" s="5">
        <v>8.0</v>
      </c>
      <c r="E36" s="5">
        <v>7.0</v>
      </c>
    </row>
    <row r="39">
      <c r="B39" s="18" t="s">
        <v>120</v>
      </c>
    </row>
    <row r="40">
      <c r="B40" s="19" t="s">
        <v>121</v>
      </c>
      <c r="C40" s="20" t="s">
        <v>13</v>
      </c>
    </row>
    <row r="41">
      <c r="B41" s="5">
        <v>1.0</v>
      </c>
      <c r="C41" s="3" t="s">
        <v>23</v>
      </c>
    </row>
    <row r="42">
      <c r="B42" s="5">
        <v>2.0</v>
      </c>
      <c r="C42" s="3" t="s">
        <v>32</v>
      </c>
    </row>
    <row r="43">
      <c r="B43" s="5">
        <v>3.0</v>
      </c>
      <c r="C43" s="3" t="s">
        <v>1</v>
      </c>
    </row>
    <row r="46">
      <c r="B46" s="18" t="s">
        <v>83</v>
      </c>
    </row>
    <row r="47">
      <c r="B47" s="19" t="s">
        <v>84</v>
      </c>
      <c r="C47" s="20" t="s">
        <v>36</v>
      </c>
      <c r="D47" s="20" t="s">
        <v>37</v>
      </c>
      <c r="E47" s="20" t="s">
        <v>2</v>
      </c>
      <c r="F47" s="20" t="s">
        <v>85</v>
      </c>
      <c r="G47" s="19" t="s">
        <v>107</v>
      </c>
      <c r="H47" s="19" t="s">
        <v>122</v>
      </c>
    </row>
    <row r="48">
      <c r="B48" s="5">
        <v>1.0</v>
      </c>
      <c r="C48" s="3" t="s">
        <v>87</v>
      </c>
      <c r="D48" s="3" t="s">
        <v>88</v>
      </c>
      <c r="E48" s="4" t="s">
        <v>123</v>
      </c>
      <c r="F48" s="16">
        <f>+50588881111</f>
        <v>50588881111</v>
      </c>
      <c r="G48" s="5"/>
      <c r="H48" s="5">
        <v>1.0</v>
      </c>
    </row>
    <row r="49">
      <c r="B49" s="5">
        <v>2.0</v>
      </c>
      <c r="C49" s="3" t="s">
        <v>90</v>
      </c>
      <c r="D49" s="3" t="s">
        <v>91</v>
      </c>
      <c r="E49" s="4" t="s">
        <v>124</v>
      </c>
      <c r="F49" s="16">
        <f>+50588882222</f>
        <v>50588882222</v>
      </c>
      <c r="G49" s="5"/>
      <c r="H49" s="5">
        <v>2.0</v>
      </c>
    </row>
    <row r="50">
      <c r="B50" s="5">
        <v>3.0</v>
      </c>
      <c r="C50" s="3" t="s">
        <v>93</v>
      </c>
      <c r="D50" s="3" t="s">
        <v>94</v>
      </c>
      <c r="E50" s="4" t="s">
        <v>125</v>
      </c>
      <c r="F50" s="16">
        <f>+50588883333</f>
        <v>50588883333</v>
      </c>
      <c r="G50" s="5"/>
      <c r="H50" s="5">
        <v>3.0</v>
      </c>
    </row>
    <row r="54">
      <c r="B54" s="18" t="s">
        <v>126</v>
      </c>
    </row>
    <row r="55">
      <c r="B55" s="19" t="s">
        <v>34</v>
      </c>
      <c r="C55" s="19" t="s">
        <v>69</v>
      </c>
      <c r="D55" s="20" t="s">
        <v>97</v>
      </c>
      <c r="E55" s="20" t="s">
        <v>98</v>
      </c>
      <c r="F55" s="20" t="s">
        <v>11</v>
      </c>
    </row>
    <row r="56">
      <c r="B56" s="5">
        <v>1.0</v>
      </c>
      <c r="C56" s="5">
        <v>1.0</v>
      </c>
      <c r="D56" s="3" t="s">
        <v>99</v>
      </c>
      <c r="E56" s="3">
        <v>1.0</v>
      </c>
      <c r="F56" s="3" t="s">
        <v>21</v>
      </c>
    </row>
    <row r="57">
      <c r="B57" s="5">
        <v>2.0</v>
      </c>
      <c r="C57" s="5">
        <v>2.0</v>
      </c>
      <c r="D57" s="3" t="s">
        <v>99</v>
      </c>
      <c r="E57" s="3">
        <v>1.0</v>
      </c>
      <c r="F57" s="3" t="s">
        <v>30</v>
      </c>
    </row>
    <row r="58">
      <c r="B58" s="5">
        <v>3.0</v>
      </c>
      <c r="C58" s="5">
        <v>1.0</v>
      </c>
      <c r="D58" s="3" t="s">
        <v>99</v>
      </c>
      <c r="E58" s="3">
        <v>6.0</v>
      </c>
      <c r="F58" s="3" t="s">
        <v>100</v>
      </c>
    </row>
    <row r="59">
      <c r="B59" s="5">
        <v>4.0</v>
      </c>
      <c r="C59" s="5">
        <v>1.0</v>
      </c>
      <c r="D59" s="3" t="s">
        <v>99</v>
      </c>
      <c r="E59" s="3">
        <v>7.0</v>
      </c>
      <c r="F59" s="3" t="s">
        <v>101</v>
      </c>
    </row>
    <row r="60">
      <c r="B60" s="5">
        <v>5.0</v>
      </c>
      <c r="C60" s="5">
        <v>2.0</v>
      </c>
      <c r="D60" s="3" t="s">
        <v>99</v>
      </c>
      <c r="E60" s="3">
        <v>5.0</v>
      </c>
      <c r="F60" s="3" t="s">
        <v>21</v>
      </c>
    </row>
    <row r="64">
      <c r="B64" s="18" t="s">
        <v>127</v>
      </c>
    </row>
    <row r="65">
      <c r="B65" s="19" t="s">
        <v>102</v>
      </c>
      <c r="C65" s="19" t="s">
        <v>103</v>
      </c>
      <c r="D65" s="19" t="s">
        <v>98</v>
      </c>
      <c r="E65" s="19" t="s">
        <v>8</v>
      </c>
      <c r="F65" s="19" t="s">
        <v>9</v>
      </c>
      <c r="G65" s="20" t="s">
        <v>10</v>
      </c>
    </row>
    <row r="66">
      <c r="B66" s="5">
        <v>1.0</v>
      </c>
      <c r="C66" s="5">
        <v>1.0</v>
      </c>
      <c r="D66" s="5">
        <v>1.0</v>
      </c>
      <c r="E66" s="5">
        <v>2.0</v>
      </c>
      <c r="F66" s="5">
        <v>15.5</v>
      </c>
      <c r="G66" s="3" t="s">
        <v>20</v>
      </c>
    </row>
    <row r="67">
      <c r="B67" s="5">
        <v>2.0</v>
      </c>
      <c r="C67" s="5">
        <v>2.0</v>
      </c>
      <c r="D67" s="5">
        <v>2.0</v>
      </c>
      <c r="E67" s="5">
        <v>1.0</v>
      </c>
      <c r="F67" s="5">
        <v>25.0</v>
      </c>
      <c r="G67" s="3" t="s">
        <v>29</v>
      </c>
    </row>
    <row r="68">
      <c r="B68" s="5">
        <v>3.0</v>
      </c>
      <c r="C68" s="5">
        <v>3.0</v>
      </c>
      <c r="D68" s="5">
        <v>3.0</v>
      </c>
      <c r="E68" s="5">
        <v>3.0</v>
      </c>
      <c r="F68" s="5">
        <v>12.75</v>
      </c>
      <c r="G68" s="3" t="s">
        <v>104</v>
      </c>
    </row>
    <row r="69">
      <c r="B69" s="5">
        <v>4.0</v>
      </c>
      <c r="C69" s="5">
        <v>4.0</v>
      </c>
      <c r="D69" s="5">
        <v>4.0</v>
      </c>
      <c r="E69" s="5">
        <v>5.0</v>
      </c>
      <c r="F69" s="5">
        <v>8.99</v>
      </c>
      <c r="G69" s="3" t="s">
        <v>20</v>
      </c>
    </row>
    <row r="70">
      <c r="B70" s="5">
        <v>5.0</v>
      </c>
      <c r="C70" s="5">
        <v>5.0</v>
      </c>
      <c r="D70" s="5">
        <v>5.0</v>
      </c>
      <c r="E70" s="5">
        <v>1.0</v>
      </c>
      <c r="F70" s="5">
        <v>45.0</v>
      </c>
      <c r="G70" s="3" t="s">
        <v>29</v>
      </c>
    </row>
  </sheetData>
  <mergeCells count="1">
    <mergeCell ref="K17:P20"/>
  </mergeCells>
  <hyperlinks>
    <hyperlink r:id="rId1" ref="E4"/>
    <hyperlink r:id="rId2" ref="E5"/>
    <hyperlink r:id="rId3" ref="E48"/>
    <hyperlink r:id="rId4" ref="E49"/>
    <hyperlink r:id="rId5" ref="E50"/>
  </hyperlinks>
  <drawing r:id="rId6"/>
</worksheet>
</file>